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squivo\Desktop\Starts  Treinamentos  e  Consultoria\Excel  Youtube\Graficos  insperados\"/>
    </mc:Choice>
  </mc:AlternateContent>
  <xr:revisionPtr revIDLastSave="0" documentId="13_ncr:1_{11C99F1B-9591-4C59-9768-7AB8869481D2}" xr6:coauthVersionLast="47" xr6:coauthVersionMax="47" xr10:uidLastSave="{00000000-0000-0000-0000-000000000000}"/>
  <bookViews>
    <workbookView xWindow="-120" yWindow="-120" windowWidth="29040" windowHeight="15840" xr2:uid="{87760837-7FC9-4CEF-997E-AD450BA61417}"/>
  </bookViews>
  <sheets>
    <sheet name="Pratica 1" sheetId="1" r:id="rId1"/>
    <sheet name="Pratica 2" sheetId="2" r:id="rId2"/>
    <sheet name="Pratica 3" sheetId="3" r:id="rId3"/>
  </sheets>
  <definedNames>
    <definedName name="SegmentaçãodeDados_Anos__Data">#N/A</definedName>
  </definedNames>
  <calcPr calcId="191029"/>
  <pivotCaches>
    <pivotCache cacheId="33" r:id="rId4"/>
    <pivotCache cacheId="57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C2" i="2"/>
  <c r="C3" i="2"/>
  <c r="C4" i="2"/>
  <c r="C5" i="2"/>
  <c r="C6" i="2"/>
  <c r="C7" i="2"/>
  <c r="C8" i="2"/>
  <c r="C9" i="2"/>
  <c r="C10" i="2"/>
  <c r="C11" i="2"/>
  <c r="C12" i="2"/>
  <c r="C13" i="2"/>
</calcChain>
</file>

<file path=xl/sharedStrings.xml><?xml version="1.0" encoding="utf-8"?>
<sst xmlns="http://schemas.openxmlformats.org/spreadsheetml/2006/main" count="38" uniqueCount="29">
  <si>
    <t>Data</t>
  </si>
  <si>
    <t>Venda</t>
  </si>
  <si>
    <t>no/18</t>
  </si>
  <si>
    <t>Estado</t>
  </si>
  <si>
    <t>Funcionários</t>
  </si>
  <si>
    <t>São Paulo</t>
  </si>
  <si>
    <t>Minas Gerais</t>
  </si>
  <si>
    <t>Rio Grande do Sul</t>
  </si>
  <si>
    <t>Paraná</t>
  </si>
  <si>
    <t>Bahia</t>
  </si>
  <si>
    <t>Rio de Janeiro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</si>
  <si>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</si>
  <si>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</si>
  <si>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</si>
  <si>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</si>
  <si>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</si>
  <si>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</si>
  <si>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</si>
  <si>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</si>
  <si>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</si>
  <si>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</si>
  <si>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</si>
  <si>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</si>
  <si>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Meses</t>
  </si>
  <si>
    <t>Fat</t>
  </si>
  <si>
    <t>Fat %</t>
  </si>
  <si>
    <t>Auxiliar</t>
  </si>
  <si>
    <t>jav/19</t>
  </si>
  <si>
    <t>% 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</si>
</sst>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6" formatCode="&quot;R$&quot;\ #,##0;[Red]\-&quot;R$&quot;\ #,##0"/>
    <numFmt numFmtId="164" formatCode="&quot;R$&quot;\ #,##0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7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0" fillId="0" borderId="0" xfId="0" applyAlignment="1">
      <alignment horizontal="left"/>
    </xf>
    <xf numFmtId="0" fontId="2" fillId="4" borderId="0" xfId="0" applyFont="1" applyFill="1"/>
    <xf numFmtId="0" fontId="0" fillId="0" borderId="0" xfId="0" pivotButton="1"/>
    <xf numFmtId="6" fontId="0" fillId="0" borderId="0" xfId="0" applyNumberFormat="1"/>
    <xf numFmtId="10" fontId="0" fillId="0" borderId="0" xfId="0" applyNumberFormat="1"/>
    <xf numFmtId="0" fontId="1" fillId="3" borderId="0" xfId="0" applyFont="1" applyFill="1"/>
    <xf numFmtId="0" fontId="0" fillId="0" borderId="0" xfId="0" applyNumberFormat="1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11"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&quot;R$&quot;\ #,##0"/>
      <alignment horizontal="left" vertical="bottom" textRotation="0" wrapText="0" indent="0" justifyLastLine="0" shrinkToFit="0" readingOrder="0"/>
    </dxf>
    <dxf>
      <numFmt numFmtId="22" formatCode="mmm/yy"/>
      <alignment horizontal="left" vertical="bottom" textRotation="0" wrapText="0" indent="0" justifyLastLine="0" shrinkToFit="0" readingOrder="0"/>
    </dxf>
    <dxf>
      <numFmt numFmtId="14" formatCode="0.00%"/>
    </dxf>
    <dxf>
      <numFmt numFmtId="10" formatCode="&quot;R$&quot;\ #,##0;[Red]\-&quot;R$&quot;\ #,##0"/>
    </dxf>
    <dxf>
      <alignment horizontal="left" vertical="bottom" textRotation="0" wrapText="0" indent="0" justifyLastLine="0" shrinkToFit="0" readingOrder="0"/>
    </dxf>
    <dxf>
      <numFmt numFmtId="164" formatCode="&quot;R$&quot;\ #,##0"/>
      <alignment horizontal="left" vertical="bottom" textRotation="0" wrapText="0" indent="0" justifyLastLine="0" shrinkToFit="0" readingOrder="0"/>
    </dxf>
    <dxf>
      <numFmt numFmtId="22" formatCode="mmm/yy"/>
      <alignment horizontal="left" vertical="bottom" textRotation="0" wrapText="0" indent="0" justifyLastLine="0" shrinkToFit="0" readingOrder="0"/>
    </dxf>
  </dxfs>
  <tableStyles count="2" defaultTableStyle="TableStyleMedium2" defaultPivotStyle="PivotStyleLight16">
    <tableStyle name="Branco" pivot="0" count="0" xr9:uid="{5538468E-C536-47B6-8241-710ED8A789AD}"/>
    <tableStyle name="Live" pivot="0" count="0" xr9:uid="{FFC34FBA-C4D6-4992-BDCE-BDDEB47855E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v>Fat</c:v>
          </c:tx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cat>
            <c:strRef>
              <c:f>'Pratica 1'!$E$3:$E$14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'Pratica 1'!$F$3:$F$14</c:f>
              <c:numCache>
                <c:formatCode>"R$"#,##0_);[Red]\("R$"#,##0\)</c:formatCode>
                <c:ptCount val="12"/>
                <c:pt idx="0">
                  <c:v>77490</c:v>
                </c:pt>
                <c:pt idx="1">
                  <c:v>45309</c:v>
                </c:pt>
                <c:pt idx="2">
                  <c:v>32916</c:v>
                </c:pt>
                <c:pt idx="3">
                  <c:v>51912</c:v>
                </c:pt>
                <c:pt idx="4">
                  <c:v>20692</c:v>
                </c:pt>
                <c:pt idx="5">
                  <c:v>47169</c:v>
                </c:pt>
                <c:pt idx="6">
                  <c:v>88976</c:v>
                </c:pt>
                <c:pt idx="7">
                  <c:v>23993</c:v>
                </c:pt>
                <c:pt idx="8">
                  <c:v>35822</c:v>
                </c:pt>
                <c:pt idx="9">
                  <c:v>20480</c:v>
                </c:pt>
                <c:pt idx="10">
                  <c:v>82229</c:v>
                </c:pt>
                <c:pt idx="11">
                  <c:v>24998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F-42A6-97C3-EB5C22F7A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398176"/>
        <c:axId val="975396736"/>
      </c:areaChart>
      <c:lineChart>
        <c:grouping val="standard"/>
        <c:varyColors val="0"/>
        <c:ser>
          <c:idx val="1"/>
          <c:order val="1"/>
          <c:tx>
            <c:v>Rotulo</c:v>
          </c:tx>
          <c:spPr>
            <a:ln w="38100" cap="rnd">
              <a:solidFill>
                <a:schemeClr val="tx2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49F1B2-C79C-4FB4-A1A5-6B42B66972E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AF-42A6-97C3-EB5C22F7AC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0FF90F-E816-40E5-8656-E9F68CA92A0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AF-42A6-97C3-EB5C22F7AC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7DB611-9932-4E48-A334-7C2D818C836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AF-42A6-97C3-EB5C22F7AC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0CEF70-9279-42C7-AD3E-C8D0588D6C1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AF-42A6-97C3-EB5C22F7AC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5DF736-4FC1-4873-8341-99A075E3C13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AF-42A6-97C3-EB5C22F7AC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FB29B6-FD31-4E4F-8CBE-0CD19291F66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AF-42A6-97C3-EB5C22F7AC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B2F5DA-AEC1-43A6-BF42-692018C84ED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AF-42A6-97C3-EB5C22F7AC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9BB614-0B2E-45A1-9244-2976FC69F5C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AF-42A6-97C3-EB5C22F7AC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F2E9B6-CAEE-49F9-BD2E-8FC8DB375FB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AF-42A6-97C3-EB5C22F7AC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63F5E0-6FA4-494A-9785-2B060BFCB3C2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AF-42A6-97C3-EB5C22F7AC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C534C5-0747-4F44-B32A-E851B5611ED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AF-42A6-97C3-EB5C22F7AC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FC23F4-474E-4101-B568-69D67D2B874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AF-42A6-97C3-EB5C22F7AC06}"/>
                </c:ext>
              </c:extLst>
            </c:dLbl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'Pratica 1'!$F$3:$F$14</c:f>
              <c:numCache>
                <c:formatCode>"R$"#,##0_);[Red]\("R$"#,##0\)</c:formatCode>
                <c:ptCount val="12"/>
                <c:pt idx="0">
                  <c:v>77490</c:v>
                </c:pt>
                <c:pt idx="1">
                  <c:v>45309</c:v>
                </c:pt>
                <c:pt idx="2">
                  <c:v>32916</c:v>
                </c:pt>
                <c:pt idx="3">
                  <c:v>51912</c:v>
                </c:pt>
                <c:pt idx="4">
                  <c:v>20692</c:v>
                </c:pt>
                <c:pt idx="5">
                  <c:v>47169</c:v>
                </c:pt>
                <c:pt idx="6">
                  <c:v>88976</c:v>
                </c:pt>
                <c:pt idx="7">
                  <c:v>23993</c:v>
                </c:pt>
                <c:pt idx="8">
                  <c:v>35822</c:v>
                </c:pt>
                <c:pt idx="9">
                  <c:v>20480</c:v>
                </c:pt>
                <c:pt idx="10">
                  <c:v>82229</c:v>
                </c:pt>
                <c:pt idx="11">
                  <c:v>24998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'Pratica 1'!$G$3:$G$14</c15:f>
                <c15:dlblRangeCache>
                  <c:ptCount val="12"/>
                  <c:pt idx="0">
                    <c:v>14,04%</c:v>
                  </c:pt>
                  <c:pt idx="1">
                    <c:v>8,21%</c:v>
                  </c:pt>
                  <c:pt idx="2">
                    <c:v>5,96%</c:v>
                  </c:pt>
                  <c:pt idx="3">
                    <c:v>9,40%</c:v>
                  </c:pt>
                  <c:pt idx="4">
                    <c:v>3,75%</c:v>
                  </c:pt>
                  <c:pt idx="5">
                    <c:v>8,55%</c:v>
                  </c:pt>
                  <c:pt idx="6">
                    <c:v>16,12%</c:v>
                  </c:pt>
                  <c:pt idx="7">
                    <c:v>4,35%</c:v>
                  </c:pt>
                  <c:pt idx="8">
                    <c:v>6,49%</c:v>
                  </c:pt>
                  <c:pt idx="9">
                    <c:v>3,71%</c:v>
                  </c:pt>
                  <c:pt idx="10">
                    <c:v>14,90%</c:v>
                  </c:pt>
                  <c:pt idx="11">
                    <c:v>4,53%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AF-42A6-97C3-EB5C22F7A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398176"/>
        <c:axId val="975396736"/>
      </c:lineChart>
      <c:catAx>
        <c:axId val="97539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975396736"/>
        <c:crosses val="autoZero"/>
        <c:auto val="1"/>
        <c:lblAlgn val="ctr"/>
        <c:lblOffset val="100"/>
        <c:noMultiLvlLbl val="0"/>
      </c:catAx>
      <c:valAx>
        <c:axId val="975396736"/>
        <c:scaling>
          <c:orientation val="minMax"/>
        </c:scaling>
        <c:delete val="1"/>
        <c:axPos val="l"/>
        <c:numFmt formatCode="&quot;R$&quot;#,##0_);[Red]\(&quot;R$&quot;#,##0\)" sourceLinked="1"/>
        <c:majorTickMark val="none"/>
        <c:minorTickMark val="none"/>
        <c:tickLblPos val="nextTo"/>
        <c:crossAx val="97539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'Pratica 2'!$B$1</c:f>
              <c:strCache>
                <c:ptCount val="1"/>
                <c:pt idx="0">
                  <c:v>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'Pratica 2'!$A$2:$A$14</c:f>
              <c:strCache>
                <c:ptCount val="13"/>
                <c:pt idx="0">
                  <c:v>jan/18</c:v>
                </c:pt>
                <c:pt idx="1">
                  <c:v>fev/18</c:v>
                </c:pt>
                <c:pt idx="2">
                  <c:v>mar/18</c:v>
                </c:pt>
                <c:pt idx="3">
                  <c:v>abr/18</c:v>
                </c:pt>
                <c:pt idx="4">
                  <c:v>mai/18</c:v>
                </c:pt>
                <c:pt idx="5">
                  <c:v>jun/18</c:v>
                </c:pt>
                <c:pt idx="6">
                  <c:v>jul/18</c:v>
                </c:pt>
                <c:pt idx="7">
                  <c:v>ago/18</c:v>
                </c:pt>
                <c:pt idx="8">
                  <c:v>set/18</c:v>
                </c:pt>
                <c:pt idx="9">
                  <c:v>out/18</c:v>
                </c:pt>
                <c:pt idx="10">
                  <c:v>no/18</c:v>
                </c:pt>
                <c:pt idx="11">
                  <c:v>dez/18</c:v>
                </c:pt>
                <c:pt idx="12">
                  <c:v>jav/19</c:v>
                </c:pt>
              </c:strCache>
            </c:strRef>
          </c:cat>
          <c:val>
            <c:numRef>
              <c:f>'Pratica 2'!$B$2:$B$14</c:f>
              <c:numCache>
                <c:formatCode>"R$"\ #,##0</c:formatCode>
                <c:ptCount val="13"/>
                <c:pt idx="0">
                  <c:v>32546</c:v>
                </c:pt>
                <c:pt idx="1">
                  <c:v>95846</c:v>
                </c:pt>
                <c:pt idx="2">
                  <c:v>40000</c:v>
                </c:pt>
                <c:pt idx="3">
                  <c:v>62623</c:v>
                </c:pt>
                <c:pt idx="4">
                  <c:v>75053</c:v>
                </c:pt>
                <c:pt idx="5">
                  <c:v>43545</c:v>
                </c:pt>
                <c:pt idx="6">
                  <c:v>81234</c:v>
                </c:pt>
                <c:pt idx="7">
                  <c:v>5000</c:v>
                </c:pt>
                <c:pt idx="8">
                  <c:v>56000</c:v>
                </c:pt>
                <c:pt idx="9">
                  <c:v>90000</c:v>
                </c:pt>
                <c:pt idx="10">
                  <c:v>10000</c:v>
                </c:pt>
                <c:pt idx="11">
                  <c:v>50000</c:v>
                </c:pt>
                <c:pt idx="12">
                  <c:v>45600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1E-4CB0-BB53-D78F3937A35A}"/>
            </c:ext>
          </c:extLst>
        </c:ser>
        <c:ser>
          <c:idx val="1"/>
          <c:order val="1"/>
          <c:tx>
            <c:strRef>
              <c:f>'Pratica 2'!$C$1</c:f>
              <c:strCache>
                <c:ptCount val="1"/>
                <c:pt idx="0">
                  <c:v>Auxiliar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'Pratica 2'!$A$2:$A$14</c:f>
              <c:strCache>
                <c:ptCount val="13"/>
                <c:pt idx="0">
                  <c:v>jan/18</c:v>
                </c:pt>
                <c:pt idx="1">
                  <c:v>fev/18</c:v>
                </c:pt>
                <c:pt idx="2">
                  <c:v>mar/18</c:v>
                </c:pt>
                <c:pt idx="3">
                  <c:v>abr/18</c:v>
                </c:pt>
                <c:pt idx="4">
                  <c:v>mai/18</c:v>
                </c:pt>
                <c:pt idx="5">
                  <c:v>jun/18</c:v>
                </c:pt>
                <c:pt idx="6">
                  <c:v>jul/18</c:v>
                </c:pt>
                <c:pt idx="7">
                  <c:v>ago/18</c:v>
                </c:pt>
                <c:pt idx="8">
                  <c:v>set/18</c:v>
                </c:pt>
                <c:pt idx="9">
                  <c:v>out/18</c:v>
                </c:pt>
                <c:pt idx="10">
                  <c:v>no/18</c:v>
                </c:pt>
                <c:pt idx="11">
                  <c:v>dez/18</c:v>
                </c:pt>
                <c:pt idx="12">
                  <c:v>jav/19</c:v>
                </c:pt>
              </c:strCache>
            </c:strRef>
          </c:cat>
          <c:val>
            <c:numRef>
              <c:f>'Pratica 2'!$C$2:$C$14</c:f>
              <c:numCache>
                <c:formatCode>General</c:formatCode>
                <c:ptCount val="13"/>
                <c:pt idx="0">
                  <c:v>0</c:v>
                </c:pt>
                <c:pt idx="1">
                  <c:v>95846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1E-4CB0-BB53-D78F3937A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626494176"/>
        <c:axId val="1626493696"/>
      </c:barChart>
      <c:catAx>
        <c:axId val="162649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6493696"/>
        <c:crosses val="autoZero"/>
        <c:auto val="1"/>
        <c:lblAlgn val="ctr"/>
        <c:lblOffset val="100"/>
        <c:noMultiLvlLbl val="0"/>
      </c:catAx>
      <c:valAx>
        <c:axId val="1626493696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1626494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de  Excel aula 21 - Como  criar graficos  inseperados c.xlsm]Pratica 3!Tabela dinâmica4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654689624852073"/>
          <c:y val="8.1954315060979277E-2"/>
          <c:w val="0.63508721200498575"/>
          <c:h val="0.84517484662728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'Pratica 3'!$F$2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'Pratica 3'!$E$3:$E$8</c:f>
              <c:strCache>
                <c:ptCount val="6"/>
                <c:pt idx="0">
                  <c:v>Bahia</c:v>
                </c:pt>
                <c:pt idx="1">
                  <c:v>Rio de Janeiro</c:v>
                </c:pt>
                <c:pt idx="2">
                  <c:v>Minas Gerais</c:v>
                </c:pt>
                <c:pt idx="3">
                  <c:v>Paraná</c:v>
                </c:pt>
                <c:pt idx="4">
                  <c:v>São Paulo</c:v>
                </c:pt>
                <c:pt idx="5">
                  <c:v>Rio Grande do Sul</c:v>
                </c:pt>
              </c:strCache>
            </c:strRef>
          </c:cat>
          <c:val>
            <c:numRef>
              <c:f>'Pratica 3'!$F$3:$F$8</c:f>
              <c:numCache>
                <c:formatCode>0.00%</c:formatCode>
                <c:ptCount val="6"/>
                <c:pt idx="0">
                  <c:v>8.0968381846888787E-2</c:v>
                </c:pt>
                <c:pt idx="1">
                  <c:v>9.9429172907979438E-2</c:v>
                </c:pt>
                <c:pt idx="2">
                  <c:v>0.13137119954657706</c:v>
                </c:pt>
                <c:pt idx="3">
                  <c:v>0.18217885915549978</c:v>
                </c:pt>
                <c:pt idx="4">
                  <c:v>0.18217885915549978</c:v>
                </c:pt>
                <c:pt idx="5">
                  <c:v>0.32387352738755515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E-4EC2-8B33-4167B546E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overlap val="84"/>
        <c:axId val="1729485488"/>
        <c:axId val="975399136"/>
      </c:barChart>
      <c:catAx>
        <c:axId val="1729485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5399136"/>
        <c:crosses val="autoZero"/>
        <c:auto val="1"/>
        <c:lblAlgn val="ctr"/>
        <c:lblOffset val="100"/>
        <c:noMultiLvlLbl val="0"/>
      </c:catAx>
      <c:valAx>
        <c:axId val="975399136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72948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14</xdr:row>
      <xdr:rowOff>161926</xdr:rowOff>
    </xdr:from>
    <xdr:to>
      <xdr:col>6</xdr:col>
      <xdr:colOff>581025</xdr:colOff>
      <xdr:row>17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nos (Data)">
              <a:extLst>
                <a:ext uri="{FF2B5EF4-FFF2-40B4-BE49-F238E27FC236}">
                  <a16:creationId xmlns:a16="http://schemas.microsoft.com/office/drawing/2014/main" id="{0A741841-8DCF-5003-9D73-0CD57F3A57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(Data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2828926"/>
              <a:ext cx="1828800" cy="466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381001</xdr:colOff>
      <xdr:row>1</xdr:row>
      <xdr:rowOff>171450</xdr:rowOff>
    </xdr:from>
    <xdr:to>
      <xdr:col>20</xdr:col>
      <xdr:colOff>9525</xdr:colOff>
      <xdr:row>17</xdr:row>
      <xdr:rowOff>33337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2000835-83C0-3C35-ED1C-E08B5B391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0.31962</cdr:x>
      <cdr:y>0</cdr:y>
    </cdr:from>
    <cdr:to>
      <cdr:x>0.5487</cdr:x>
      <cdr:y>0.08838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9553CB80-0078-10E4-8356-9BD29D3FC16D}"/>
            </a:ext>
          </a:extLst>
        </cdr:cNvPr>
        <cdr:cNvSpPr txBox="1"/>
      </cdr:nvSpPr>
      <cdr:spPr>
        <a:xfrm xmlns:a="http://schemas.openxmlformats.org/drawingml/2006/main">
          <a:off x="2219324" y="0"/>
          <a:ext cx="15906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>
              <a:latin typeface="Montserrat" panose="00000500000000000000" pitchFamily="2" charset="0"/>
            </a:rPr>
            <a:t>Analise  Mensal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123825</xdr:rowOff>
    </xdr:from>
    <xdr:to>
      <xdr:col>17</xdr:col>
      <xdr:colOff>523875</xdr:colOff>
      <xdr:row>16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46DEBD-EF8C-B417-59AC-55DA700DE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0.43676</cdr:x>
      <cdr:y>0.33701</cdr:y>
    </cdr:from>
    <cdr:to>
      <cdr:x>0.56324</cdr:x>
      <cdr:y>0.66299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EF096F53-7A4B-AD11-DF5A-C972E134EBBD}"/>
            </a:ext>
          </a:extLst>
        </cdr:cNvPr>
        <cdr:cNvSpPr txBox="1"/>
      </cdr:nvSpPr>
      <cdr:spPr>
        <a:xfrm xmlns:a="http://schemas.openxmlformats.org/drawingml/2006/main">
          <a:off x="3157537" y="945356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0.49407</cdr:x>
      <cdr:y>0.0781</cdr:y>
    </cdr:from>
    <cdr:to>
      <cdr:x>0.51647</cdr:x>
      <cdr:y>0.37012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925D8451-7E27-630C-EE5C-8872DD591B2A}"/>
            </a:ext>
          </a:extLst>
        </cdr:cNvPr>
        <cdr:cNvSpPr txBox="1"/>
      </cdr:nvSpPr>
      <cdr:spPr>
        <a:xfrm xmlns:a="http://schemas.openxmlformats.org/drawingml/2006/main">
          <a:off x="3571875" y="219075"/>
          <a:ext cx="161925" cy="819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0.38999</cdr:x>
      <cdr:y>0.05093</cdr:y>
    </cdr:from>
    <cdr:to>
      <cdr:x>0.68116</cdr:x>
      <cdr:y>0.16978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DA8467F7-7724-AF69-848C-845C203501C6}"/>
            </a:ext>
          </a:extLst>
        </cdr:cNvPr>
        <cdr:cNvSpPr txBox="1"/>
      </cdr:nvSpPr>
      <cdr:spPr>
        <a:xfrm xmlns:a="http://schemas.openxmlformats.org/drawingml/2006/main">
          <a:off x="2819399" y="142875"/>
          <a:ext cx="2105025" cy="3333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400">
              <a:latin typeface="Montserrat" panose="00000500000000000000" pitchFamily="2" charset="0"/>
            </a:rPr>
            <a:t>Analise  por venda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11</xdr:row>
      <xdr:rowOff>85726</xdr:rowOff>
    </xdr:from>
    <xdr:to>
      <xdr:col>8</xdr:col>
      <xdr:colOff>57150</xdr:colOff>
      <xdr:row>32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B03E21-51CB-400B-AC6B-2B7EF35398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0.34334</cdr:x>
      <cdr:y>0</cdr:y>
    </cdr:from>
    <cdr:to>
      <cdr:x>0.77298</cdr:x>
      <cdr:y>0.07214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FF4D8945-C9B8-EF84-A509-F41B19646607}"/>
            </a:ext>
          </a:extLst>
        </cdr:cNvPr>
        <cdr:cNvSpPr txBox="1"/>
      </cdr:nvSpPr>
      <cdr:spPr>
        <a:xfrm xmlns:a="http://schemas.openxmlformats.org/drawingml/2006/main">
          <a:off x="1743074" y="-95250"/>
          <a:ext cx="218122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/>
            <a:t>Analise</a:t>
          </a:r>
          <a:r>
            <a:rPr lang="pt-BR" sz="1100" baseline="0"/>
            <a:t>  por funcionarios</a:t>
          </a:r>
          <a:endParaRPr lang="pt-BR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quivo" refreshedDate="45705.67111412037" createdVersion="8" refreshedVersion="8" minRefreshableVersion="3" recordCount="36" xr:uid="{9A6B8E9F-4395-405B-B331-A484D72D0970}">
  <cacheSource type="worksheet">
    <worksheetSource name="BaseExemplo1"/>
  </cacheSource>
  <cacheFields count="5">
    <cacheField name="Data" numFmtId="17">
      <sharedItems containsSemiMixedTypes="0" containsNonDate="0" containsDate="1" containsString="0" minDate="2018-01-01T00:00:00" maxDate="2020-12-02T00:00:00" count="36"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</sharedItems>
      <fieldGroup par="4"/>
    </cacheField>
    <cacheField name="Venda" numFmtId="164">
      <sharedItems containsSemiMixedTypes="0" containsString="0" containsNumber="1" containsInteger="1" minValue="17397" maxValue="92124"/>
    </cacheField>
    <cacheField name="Meses (Data)" numFmtId="0" databaseField="0">
      <fieldGroup base="0">
        <rangePr groupBy="months" startDate="2018-01-01T00:00:00" endDate="2020-12-02T00:00:00"/>
        <groupItems count="14">
          <s v="&lt;01/01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20"/>
        </groupItems>
      </fieldGroup>
    </cacheField>
    <cacheField name="Trimestres (Data)" numFmtId="0" databaseField="0">
      <fieldGroup base="0">
        <rangePr groupBy="quarters" startDate="2018-01-01T00:00:00" endDate="2020-12-02T00:00:00"/>
        <groupItems count="6">
          <s v="&lt;01/01/2018"/>
          <s v="Trim1"/>
          <s v="Trim2"/>
          <s v="Trim3"/>
          <s v="Trim4"/>
          <s v="&gt;02/12/2020"/>
        </groupItems>
      </fieldGroup>
    </cacheField>
    <cacheField name="Anos (Data)" numFmtId="0" databaseField="0">
      <fieldGroup base="0">
        <rangePr groupBy="years" startDate="2018-01-01T00:00:00" endDate="2020-12-02T00:00:00"/>
        <groupItems count="5">
          <s v="&lt;01/01/2018"/>
          <s v="2018"/>
          <s v="2019"/>
          <s v="2020"/>
          <s v="&gt;02/12/2020"/>
        </groupItems>
      </fieldGroup>
    </cacheField>
  </cacheFields>
  <extLst>
    <ext xmlns:x14="http://schemas.microsoft.com/office/spreadsheetml/2009/9/main" uri="{725AE2AE-9491-48be-B2B4-4EB974FC3084}">
      <x14:pivotCacheDefinition pivotCacheId="63656500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quivo" refreshedDate="45705.704577546298" createdVersion="8" refreshedVersion="8" minRefreshableVersion="3" recordCount="6" xr:uid="{4C30597E-59A5-47C1-B1EE-331E62FD05D8}">
  <cacheSource type="worksheet">
    <worksheetSource name="BaseExemplo3"/>
  </cacheSource>
  <cacheFields count="2">
    <cacheField name="Estado" numFmtId="0">
      <sharedItems count="6">
        <s v="São Paulo"/>
        <s v="Minas Gerais"/>
        <s v="Rio Grande do Sul"/>
        <s v="Paraná"/>
        <s v="Bahia"/>
        <s v="Rio de Janeiro"/>
      </sharedItems>
    </cacheField>
    <cacheField name="Funcionários" numFmtId="3">
      <sharedItems containsSemiMixedTypes="0" containsString="0" containsNumber="1" containsInteger="1" minValue="2000" maxValue="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n v="76553"/>
  </r>
  <r>
    <x v="1"/>
    <n v="84242"/>
  </r>
  <r>
    <x v="2"/>
    <n v="37736"/>
  </r>
  <r>
    <x v="3"/>
    <n v="68279"/>
  </r>
  <r>
    <x v="4"/>
    <n v="75053"/>
  </r>
  <r>
    <x v="5"/>
    <n v="43545"/>
  </r>
  <r>
    <x v="6"/>
    <n v="92074"/>
  </r>
  <r>
    <x v="7"/>
    <n v="41595"/>
  </r>
  <r>
    <x v="8"/>
    <n v="29543"/>
  </r>
  <r>
    <x v="9"/>
    <n v="17397"/>
  </r>
  <r>
    <x v="10"/>
    <n v="81536"/>
  </r>
  <r>
    <x v="11"/>
    <n v="52359"/>
  </r>
  <r>
    <x v="12"/>
    <n v="77490"/>
  </r>
  <r>
    <x v="13"/>
    <n v="45309"/>
  </r>
  <r>
    <x v="14"/>
    <n v="32916"/>
  </r>
  <r>
    <x v="15"/>
    <n v="51912"/>
  </r>
  <r>
    <x v="16"/>
    <n v="20692"/>
  </r>
  <r>
    <x v="17"/>
    <n v="47169"/>
  </r>
  <r>
    <x v="18"/>
    <n v="88976"/>
  </r>
  <r>
    <x v="19"/>
    <n v="23993"/>
  </r>
  <r>
    <x v="20"/>
    <n v="35822"/>
  </r>
  <r>
    <x v="21"/>
    <n v="20480"/>
  </r>
  <r>
    <x v="22"/>
    <n v="82229"/>
  </r>
  <r>
    <x v="23"/>
    <n v="24998"/>
  </r>
  <r>
    <x v="24"/>
    <n v="92124"/>
  </r>
  <r>
    <x v="25"/>
    <n v="70638"/>
  </r>
  <r>
    <x v="26"/>
    <n v="40386"/>
  </r>
  <r>
    <x v="27"/>
    <n v="86222"/>
  </r>
  <r>
    <x v="28"/>
    <n v="29710"/>
  </r>
  <r>
    <x v="29"/>
    <n v="66790"/>
  </r>
  <r>
    <x v="30"/>
    <n v="23091"/>
  </r>
  <r>
    <x v="31"/>
    <n v="49297"/>
  </r>
  <r>
    <x v="32"/>
    <n v="29272"/>
  </r>
  <r>
    <x v="33"/>
    <n v="58157"/>
  </r>
  <r>
    <x v="34"/>
    <n v="47316"/>
  </r>
  <r>
    <x v="35"/>
    <n v="2696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4500"/>
  </r>
  <r>
    <x v="1"/>
    <n v="3245"/>
  </r>
  <r>
    <x v="2"/>
    <n v="8000"/>
  </r>
  <r>
    <x v="3"/>
    <n v="4500"/>
  </r>
  <r>
    <x v="4"/>
    <n v="2000"/>
  </r>
  <r>
    <x v="5"/>
    <n v="24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A9CD83-AF64-4D51-8692-29F45E6ECDAE}" name="Tabela dinâmica3" cacheId="33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rowHeaderCaption="Meses">
  <location ref="E2:G14" firstHeaderRow="0" firstDataRow="1" firstDataCol="1"/>
  <pivotFields count="5">
    <pivotField numFmtId="17" showAll="0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numFmtId="16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h="1" sd="0" x="0"/>
        <item h="1" sd="0" x="1"/>
        <item sd="0" x="2"/>
        <item h="1" sd="0" x="3"/>
        <item h="1" sd="0" x="4"/>
        <item t="default"/>
      </items>
    </pivotField>
  </pivotFields>
  <rowFields count="1"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-2"/>
  </colFields>
  <colItems count="2">
    <i>
      <x/>
    </i>
    <i i="1">
      <x v="1"/>
    </i>
  </colItems>
  <dataFields count="2">
    <dataField name="Fat" fld="1" baseField="0" baseItem="0" numFmtId="6"/>
    <dataField name="Fat %" fld="1" showDataAs="percentOfTotal" baseField="2" baseItem="1" numFmtId="10"/>
  </dataFields>
  <formats count="2"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AB88B5-45AD-441F-BD10-3833ED89802E}" name="Tabela dinâmica4" cacheId="5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Estado">
  <location ref="E2:F8" firstHeaderRow="1" firstDataRow="1" firstDataCol="1"/>
  <pivotFields count="2">
    <pivotField axis="axisRow" showAll="0" sortType="ascending">
      <items count="7">
        <item x="4"/>
        <item x="1"/>
        <item x="3"/>
        <item x="5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3" showAll="0"/>
  </pivotFields>
  <rowFields count="1">
    <field x="0"/>
  </rowFields>
  <rowItems count="6">
    <i>
      <x/>
    </i>
    <i>
      <x v="3"/>
    </i>
    <i>
      <x v="1"/>
    </i>
    <i>
      <x v="2"/>
    </i>
    <i>
      <x v="5"/>
    </i>
    <i>
      <x v="4"/>
    </i>
  </rowItems>
  <colItems count="1">
    <i/>
  </colItems>
  <dataFields count="1">
    <dataField name="% Func" fld="1" showDataAs="percentOfTotal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__Data" xr10:uid="{64FC59A6-9673-4E16-9332-5A4666CB43CE}" sourceName="Anos (Data)">
  <pivotTables>
    <pivotTable tabId="1" name="Tabela dinâmica3"/>
  </pivotTables>
  <data>
    <tabular pivotCacheId="636565006" showMissing="0">
      <items count="5">
        <i x="1"/>
        <i x="2" s="1"/>
        <i x="3"/>
        <i x="0" nd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s (Data)" xr10:uid="{F9F921B2-CFA2-4090-AA7F-8956766AA6F7}" cache="SegmentaçãodeDados_Anos__Data" caption="Anos (Data)" columnCount="3" showCaption="0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FE2BB0-FEF0-47D0-817B-936ABB2C3A1C}" name="BaseExemplo1" displayName="BaseExemplo1" ref="A1:B37" totalsRowShown="0" dataDxfId="8">
  <autoFilter ref="A1:B37" xr:uid="{FCFE2BB0-FEF0-47D0-817B-936ABB2C3A1C}"/>
  <tableColumns count="2">
    <tableColumn id="1" xr3:uid="{FADB1632-89E1-44ED-8F92-9E8F9BAF33E5}" name="Data" dataDxfId="10"/>
    <tableColumn id="2" xr3:uid="{C7B092CF-3C09-47C4-86CC-6A71F3059FF6}" name="Venda" dataDxfId="9"/>
  </tableColumns>
  <tableStyleInfo name="Branc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E780A5-45BE-40C7-A851-54E01E607107}" name="Tabela5" displayName="Tabela5" ref="A1:C14" totalsRowShown="0" dataDxfId="3">
  <autoFilter ref="A1:C14" xr:uid="{99E780A5-45BE-40C7-A851-54E01E607107}"/>
  <tableColumns count="3">
    <tableColumn id="1" xr3:uid="{996B4AED-2F4D-4C1F-B921-31D8EF82BA4A}" name="Data" dataDxfId="5"/>
    <tableColumn id="2" xr3:uid="{93BB8380-6FFF-4A57-AD64-A6AA8F78BDFC}" name="Venda" dataDxfId="4"/>
    <tableColumn id="3" xr3:uid="{88275B79-5A12-4025-9985-B8DE9393E5F1}" name="Auxiliar" dataDxfId="2">
      <calculatedColumnFormula>IF(MAX(Tabela5[Venda])=Tabela5[[#This Row],[Venda]],Tabela5[[#This Row],[Venda]],0)</calculatedColumnFormula>
    </tableColumn>
  </tableColumns>
  <tableStyleInfo name="Branc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5737F7-D0CC-40E4-BCAF-7202796E25DD}" name="BaseExemplo3" displayName="BaseExemplo3" ref="A1:B7" totalsRowShown="0" headerRowDxfId="1">
  <autoFilter ref="A1:B7" xr:uid="{F85737F7-D0CC-40E4-BCAF-7202796E25DD}"/>
  <tableColumns count="2">
    <tableColumn id="1" xr3:uid="{967F23C0-EED2-410B-86DE-3DE91171F807}" name="Estado"/>
    <tableColumn id="2" xr3:uid="{B568D8F1-434D-49F0-BCBB-78C3B8FACF37}" name="Funcionários" dataDxfId="0"/>
  </tableColumns>
  <tableStyleInfo name="Branco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5B36-C01F-4B5D-920D-2757E4B67DCD}">
  <sheetPr codeName="Planilha1"/>
  <dimension ref="A1:G37"/>
  <sheetViews>
    <sheetView showGridLines="0" tabSelected="1" workbookViewId="0">
      <selection activeCell="T28" sqref="T28"/>
    </sheetView>
  </sheetViews>
  <sheetFormatPr defaultRowHeight="15" x14ac:dyDescent="0.25"/>
  <cols>
    <col min="5" max="6" width="9.140625" bestFit="1" customWidth="1"/>
    <col min="7" max="7" width="14.85546875" bestFit="1" customWidth="1"/>
  </cols>
  <sheetData>
    <row r="1" spans="1:7" x14ac:dyDescent="0.25">
      <c r="A1" s="3" t="s">
        <v>0</v>
      </c>
      <c r="B1" s="4" t="s">
        <v>1</v>
      </c>
    </row>
    <row r="2" spans="1:7" x14ac:dyDescent="0.25">
      <c r="A2" s="1">
        <v>43101</v>
      </c>
      <c r="B2" s="2">
        <v>76553</v>
      </c>
      <c r="E2" s="7" t="s">
        <v>23</v>
      </c>
      <c r="F2" t="s">
        <v>24</v>
      </c>
      <c r="G2" t="s">
        <v>25</v>
      </c>
    </row>
    <row r="3" spans="1:7" x14ac:dyDescent="0.25">
      <c r="A3" s="1">
        <v>43132</v>
      </c>
      <c r="B3" s="2">
        <v>84242</v>
      </c>
      <c r="E3" s="5" t="s">
        <v>11</v>
      </c>
      <c r="F3" s="8">
        <v>77490</v>
      </c>
      <c r="G3" s="9">
        <v>0.14038399524625625</v>
      </c>
    </row>
    <row r="4" spans="1:7" x14ac:dyDescent="0.25">
      <c r="A4" s="1">
        <v>43160</v>
      </c>
      <c r="B4" s="2">
        <v>37736</v>
      </c>
      <c r="E4" s="5" t="s">
        <v>12</v>
      </c>
      <c r="F4" s="8">
        <v>45309</v>
      </c>
      <c r="G4" s="9">
        <v>8.2083603569655758E-2</v>
      </c>
    </row>
    <row r="5" spans="1:7" x14ac:dyDescent="0.25">
      <c r="A5" s="1">
        <v>43191</v>
      </c>
      <c r="B5" s="2">
        <v>68279</v>
      </c>
      <c r="E5" s="5" t="s">
        <v>13</v>
      </c>
      <c r="F5" s="8">
        <v>32916</v>
      </c>
      <c r="G5" s="9">
        <v>5.9631947187066339E-2</v>
      </c>
    </row>
    <row r="6" spans="1:7" x14ac:dyDescent="0.25">
      <c r="A6" s="1">
        <v>43221</v>
      </c>
      <c r="B6" s="2">
        <v>75053</v>
      </c>
      <c r="E6" s="5" t="s">
        <v>14</v>
      </c>
      <c r="F6" s="8">
        <v>51912</v>
      </c>
      <c r="G6" s="9">
        <v>9.4045863482044828E-2</v>
      </c>
    </row>
    <row r="7" spans="1:7" x14ac:dyDescent="0.25">
      <c r="A7" s="1">
        <v>43252</v>
      </c>
      <c r="B7" s="2">
        <v>43545</v>
      </c>
      <c r="E7" s="5" t="s">
        <v>15</v>
      </c>
      <c r="F7" s="8">
        <v>20692</v>
      </c>
      <c r="G7" s="9">
        <v>3.7486457989876557E-2</v>
      </c>
    </row>
    <row r="8" spans="1:7" x14ac:dyDescent="0.25">
      <c r="A8" s="1">
        <v>43282</v>
      </c>
      <c r="B8" s="2">
        <v>92074</v>
      </c>
      <c r="E8" s="5" t="s">
        <v>16</v>
      </c>
      <c r="F8" s="8">
        <v>47169</v>
      </c>
      <c r="G8" s="9">
        <v>8.5453254249201971E-2</v>
      </c>
    </row>
    <row r="9" spans="1:7" x14ac:dyDescent="0.25">
      <c r="A9" s="1">
        <v>43313</v>
      </c>
      <c r="B9" s="2">
        <v>41595</v>
      </c>
      <c r="E9" s="5" t="s">
        <v>17</v>
      </c>
      <c r="F9" s="8">
        <v>88976</v>
      </c>
      <c r="G9" s="9">
        <v>0.1611924940125293</v>
      </c>
    </row>
    <row r="10" spans="1:7" x14ac:dyDescent="0.25">
      <c r="A10" s="1">
        <v>43344</v>
      </c>
      <c r="B10" s="2">
        <v>29543</v>
      </c>
      <c r="E10" s="5" t="s">
        <v>18</v>
      </c>
      <c r="F10" s="8">
        <v>23993</v>
      </c>
      <c r="G10" s="9">
        <v>4.3466682125995949E-2</v>
      </c>
    </row>
    <row r="11" spans="1:7" x14ac:dyDescent="0.25">
      <c r="A11" s="1">
        <v>43374</v>
      </c>
      <c r="B11" s="2">
        <v>17397</v>
      </c>
      <c r="E11" s="5" t="s">
        <v>19</v>
      </c>
      <c r="F11" s="8">
        <v>35822</v>
      </c>
      <c r="G11" s="9">
        <v>6.4896573463819732E-2</v>
      </c>
    </row>
    <row r="12" spans="1:7" x14ac:dyDescent="0.25">
      <c r="A12" s="1">
        <v>43405</v>
      </c>
      <c r="B12" s="2">
        <v>81536</v>
      </c>
      <c r="E12" s="5" t="s">
        <v>20</v>
      </c>
      <c r="F12" s="8">
        <v>20480</v>
      </c>
      <c r="G12" s="9">
        <v>3.7102390278014298E-2</v>
      </c>
    </row>
    <row r="13" spans="1:7" x14ac:dyDescent="0.25">
      <c r="A13" s="1">
        <v>43435</v>
      </c>
      <c r="B13" s="2">
        <v>52359</v>
      </c>
      <c r="E13" s="5" t="s">
        <v>21</v>
      </c>
      <c r="F13" s="8">
        <v>82229</v>
      </c>
      <c r="G13" s="9">
        <v>0.14896935791849794</v>
      </c>
    </row>
    <row r="14" spans="1:7" x14ac:dyDescent="0.25">
      <c r="A14" s="1">
        <v>43466</v>
      </c>
      <c r="B14" s="2">
        <v>77490</v>
      </c>
      <c r="E14" s="5" t="s">
        <v>22</v>
      </c>
      <c r="F14" s="8">
        <v>24998</v>
      </c>
      <c r="G14" s="9">
        <v>4.5287380477041082E-2</v>
      </c>
    </row>
    <row r="15" spans="1:7" x14ac:dyDescent="0.25">
      <c r="A15" s="1">
        <v>43497</v>
      </c>
      <c r="B15" s="2">
        <v>45309</v>
      </c>
    </row>
    <row r="16" spans="1:7" x14ac:dyDescent="0.25">
      <c r="A16" s="1">
        <v>43525</v>
      </c>
      <c r="B16" s="2">
        <v>32916</v>
      </c>
    </row>
    <row r="17" spans="1:2" x14ac:dyDescent="0.25">
      <c r="A17" s="1">
        <v>43556</v>
      </c>
      <c r="B17" s="2">
        <v>51912</v>
      </c>
    </row>
    <row r="18" spans="1:2" x14ac:dyDescent="0.25">
      <c r="A18" s="1">
        <v>43586</v>
      </c>
      <c r="B18" s="2">
        <v>20692</v>
      </c>
    </row>
    <row r="19" spans="1:2" x14ac:dyDescent="0.25">
      <c r="A19" s="1">
        <v>43617</v>
      </c>
      <c r="B19" s="2">
        <v>47169</v>
      </c>
    </row>
    <row r="20" spans="1:2" x14ac:dyDescent="0.25">
      <c r="A20" s="1">
        <v>43647</v>
      </c>
      <c r="B20" s="2">
        <v>88976</v>
      </c>
    </row>
    <row r="21" spans="1:2" x14ac:dyDescent="0.25">
      <c r="A21" s="1">
        <v>43678</v>
      </c>
      <c r="B21" s="2">
        <v>23993</v>
      </c>
    </row>
    <row r="22" spans="1:2" x14ac:dyDescent="0.25">
      <c r="A22" s="1">
        <v>43709</v>
      </c>
      <c r="B22" s="2">
        <v>35822</v>
      </c>
    </row>
    <row r="23" spans="1:2" x14ac:dyDescent="0.25">
      <c r="A23" s="1">
        <v>43739</v>
      </c>
      <c r="B23" s="2">
        <v>20480</v>
      </c>
    </row>
    <row r="24" spans="1:2" x14ac:dyDescent="0.25">
      <c r="A24" s="1">
        <v>43770</v>
      </c>
      <c r="B24" s="2">
        <v>82229</v>
      </c>
    </row>
    <row r="25" spans="1:2" x14ac:dyDescent="0.25">
      <c r="A25" s="1">
        <v>43800</v>
      </c>
      <c r="B25" s="2">
        <v>24998</v>
      </c>
    </row>
    <row r="26" spans="1:2" x14ac:dyDescent="0.25">
      <c r="A26" s="1">
        <v>43831</v>
      </c>
      <c r="B26" s="2">
        <v>92124</v>
      </c>
    </row>
    <row r="27" spans="1:2" x14ac:dyDescent="0.25">
      <c r="A27" s="1">
        <v>43862</v>
      </c>
      <c r="B27" s="2">
        <v>70638</v>
      </c>
    </row>
    <row r="28" spans="1:2" x14ac:dyDescent="0.25">
      <c r="A28" s="1">
        <v>43891</v>
      </c>
      <c r="B28" s="2">
        <v>40386</v>
      </c>
    </row>
    <row r="29" spans="1:2" x14ac:dyDescent="0.25">
      <c r="A29" s="1">
        <v>43922</v>
      </c>
      <c r="B29" s="2">
        <v>86222</v>
      </c>
    </row>
    <row r="30" spans="1:2" x14ac:dyDescent="0.25">
      <c r="A30" s="1">
        <v>43952</v>
      </c>
      <c r="B30" s="2">
        <v>29710</v>
      </c>
    </row>
    <row r="31" spans="1:2" x14ac:dyDescent="0.25">
      <c r="A31" s="1">
        <v>43983</v>
      </c>
      <c r="B31" s="2">
        <v>66790</v>
      </c>
    </row>
    <row r="32" spans="1:2" x14ac:dyDescent="0.25">
      <c r="A32" s="1">
        <v>44013</v>
      </c>
      <c r="B32" s="2">
        <v>23091</v>
      </c>
    </row>
    <row r="33" spans="1:2" x14ac:dyDescent="0.25">
      <c r="A33" s="1">
        <v>44044</v>
      </c>
      <c r="B33" s="2">
        <v>49297</v>
      </c>
    </row>
    <row r="34" spans="1:2" x14ac:dyDescent="0.25">
      <c r="A34" s="1">
        <v>44075</v>
      </c>
      <c r="B34" s="2">
        <v>29272</v>
      </c>
    </row>
    <row r="35" spans="1:2" x14ac:dyDescent="0.25">
      <c r="A35" s="1">
        <v>44105</v>
      </c>
      <c r="B35" s="2">
        <v>58157</v>
      </c>
    </row>
    <row r="36" spans="1:2" x14ac:dyDescent="0.25">
      <c r="A36" s="1">
        <v>44136</v>
      </c>
      <c r="B36" s="2">
        <v>47316</v>
      </c>
    </row>
    <row r="37" spans="1:2" x14ac:dyDescent="0.25">
      <c r="A37" s="1">
        <v>44166</v>
      </c>
      <c r="B37" s="2">
        <v>26965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C881-14CA-4A29-BC46-D84C64E22C66}">
  <sheetPr codeName="Planilha2"/>
  <dimension ref="A1:D14"/>
  <sheetViews>
    <sheetView showGridLines="0" workbookViewId="0">
      <selection activeCell="F36" sqref="F36"/>
    </sheetView>
  </sheetViews>
  <sheetFormatPr defaultRowHeight="15" outlineLevelCol="1" x14ac:dyDescent="0.25"/>
  <cols>
    <col min="2" max="2" width="10.140625" bestFit="1" customWidth="1"/>
    <col min="3" max="3" width="9.140625" hidden="1" customWidth="1" outlineLevel="1"/>
    <col min="4" max="4" width="9.140625" collapsed="1"/>
  </cols>
  <sheetData>
    <row r="1" spans="1:3" x14ac:dyDescent="0.25">
      <c r="A1" s="3" t="s">
        <v>0</v>
      </c>
      <c r="B1" s="4" t="s">
        <v>1</v>
      </c>
      <c r="C1" s="10" t="s">
        <v>26</v>
      </c>
    </row>
    <row r="2" spans="1:3" x14ac:dyDescent="0.25">
      <c r="A2" s="1">
        <v>43101</v>
      </c>
      <c r="B2" s="2">
        <v>32546</v>
      </c>
      <c r="C2" s="5">
        <f>IF(MAX(Tabela5[Venda])=Tabela5[[#This Row],[Venda]],Tabela5[[#This Row],[Venda]],0)</f>
        <v>0</v>
      </c>
    </row>
    <row r="3" spans="1:3" x14ac:dyDescent="0.25">
      <c r="A3" s="1">
        <v>43132</v>
      </c>
      <c r="B3" s="2">
        <v>95846</v>
      </c>
      <c r="C3" s="5">
        <f>IF(MAX(Tabela5[Venda])=Tabela5[[#This Row],[Venda]],Tabela5[[#This Row],[Venda]],0)</f>
        <v>95846</v>
      </c>
    </row>
    <row r="4" spans="1:3" x14ac:dyDescent="0.25">
      <c r="A4" s="1">
        <v>43160</v>
      </c>
      <c r="B4" s="2">
        <v>40000</v>
      </c>
      <c r="C4" s="5">
        <f>IF(MAX(Tabela5[Venda])=Tabela5[[#This Row],[Venda]],Tabela5[[#This Row],[Venda]],0)</f>
        <v>0</v>
      </c>
    </row>
    <row r="5" spans="1:3" x14ac:dyDescent="0.25">
      <c r="A5" s="1">
        <v>43191</v>
      </c>
      <c r="B5" s="2">
        <v>62623</v>
      </c>
      <c r="C5" s="5">
        <f>IF(MAX(Tabela5[Venda])=Tabela5[[#This Row],[Venda]],Tabela5[[#This Row],[Venda]],0)</f>
        <v>0</v>
      </c>
    </row>
    <row r="6" spans="1:3" x14ac:dyDescent="0.25">
      <c r="A6" s="1">
        <v>43221</v>
      </c>
      <c r="B6" s="2">
        <v>75053</v>
      </c>
      <c r="C6" s="5">
        <f>IF(MAX(Tabela5[Venda])=Tabela5[[#This Row],[Venda]],Tabela5[[#This Row],[Venda]],0)</f>
        <v>0</v>
      </c>
    </row>
    <row r="7" spans="1:3" x14ac:dyDescent="0.25">
      <c r="A7" s="1">
        <v>43252</v>
      </c>
      <c r="B7" s="2">
        <v>43545</v>
      </c>
      <c r="C7" s="5">
        <f>IF(MAX(Tabela5[Venda])=Tabela5[[#This Row],[Venda]],Tabela5[[#This Row],[Venda]],0)</f>
        <v>0</v>
      </c>
    </row>
    <row r="8" spans="1:3" x14ac:dyDescent="0.25">
      <c r="A8" s="1">
        <v>43282</v>
      </c>
      <c r="B8" s="2">
        <v>81234</v>
      </c>
      <c r="C8" s="5">
        <f>IF(MAX(Tabela5[Venda])=Tabela5[[#This Row],[Venda]],Tabela5[[#This Row],[Venda]],0)</f>
        <v>0</v>
      </c>
    </row>
    <row r="9" spans="1:3" x14ac:dyDescent="0.25">
      <c r="A9" s="1">
        <v>43313</v>
      </c>
      <c r="B9" s="2">
        <v>5000</v>
      </c>
      <c r="C9" s="5">
        <f>IF(MAX(Tabela5[Venda])=Tabela5[[#This Row],[Venda]],Tabela5[[#This Row],[Venda]],0)</f>
        <v>0</v>
      </c>
    </row>
    <row r="10" spans="1:3" x14ac:dyDescent="0.25">
      <c r="A10" s="1">
        <v>43344</v>
      </c>
      <c r="B10" s="2">
        <v>56000</v>
      </c>
      <c r="C10" s="5">
        <f>IF(MAX(Tabela5[Venda])=Tabela5[[#This Row],[Venda]],Tabela5[[#This Row],[Venda]],0)</f>
        <v>0</v>
      </c>
    </row>
    <row r="11" spans="1:3" x14ac:dyDescent="0.25">
      <c r="A11" s="1">
        <v>43374</v>
      </c>
      <c r="B11" s="2">
        <v>90000</v>
      </c>
      <c r="C11" s="5">
        <f>IF(MAX(Tabela5[Venda])=Tabela5[[#This Row],[Venda]],Tabela5[[#This Row],[Venda]],0)</f>
        <v>0</v>
      </c>
    </row>
    <row r="12" spans="1:3" x14ac:dyDescent="0.25">
      <c r="A12" s="1" t="s">
        <v>2</v>
      </c>
      <c r="B12" s="2">
        <v>10000</v>
      </c>
      <c r="C12" s="5">
        <f>IF(MAX(Tabela5[Venda])=Tabela5[[#This Row],[Venda]],Tabela5[[#This Row],[Venda]],0)</f>
        <v>0</v>
      </c>
    </row>
    <row r="13" spans="1:3" x14ac:dyDescent="0.25">
      <c r="A13" s="1">
        <v>43435</v>
      </c>
      <c r="B13" s="2">
        <v>50000</v>
      </c>
      <c r="C13" s="5">
        <f>IF(MAX(Tabela5[Venda])=Tabela5[[#This Row],[Venda]],Tabela5[[#This Row],[Venda]],0)</f>
        <v>0</v>
      </c>
    </row>
    <row r="14" spans="1:3" x14ac:dyDescent="0.25">
      <c r="A14" s="1" t="s">
        <v>27</v>
      </c>
      <c r="B14" s="2">
        <v>45600</v>
      </c>
      <c r="C14" s="11">
        <f>IF(MAX(Tabela5[Venda])=Tabela5[[#This Row],[Venda]],Tabela5[[#This Row],[Venda]],0)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C817C-B561-4171-92DC-A154D65E421B}">
  <sheetPr codeName="Planilha3"/>
  <dimension ref="A1:F8"/>
  <sheetViews>
    <sheetView showGridLines="0" workbookViewId="0">
      <selection activeCell="J1" sqref="J1"/>
    </sheetView>
  </sheetViews>
  <sheetFormatPr defaultRowHeight="15" x14ac:dyDescent="0.25"/>
  <cols>
    <col min="1" max="1" width="16.7109375" bestFit="1" customWidth="1"/>
    <col min="2" max="2" width="14.85546875" customWidth="1"/>
    <col min="5" max="5" width="16.7109375" bestFit="1" customWidth="1"/>
    <col min="6" max="6" width="7.28515625" bestFit="1" customWidth="1"/>
  </cols>
  <sheetData>
    <row r="1" spans="1:6" x14ac:dyDescent="0.25">
      <c r="A1" s="6" t="s">
        <v>3</v>
      </c>
      <c r="B1" s="6" t="s">
        <v>4</v>
      </c>
    </row>
    <row r="2" spans="1:6" x14ac:dyDescent="0.25">
      <c r="A2" t="s">
        <v>5</v>
      </c>
      <c r="B2" s="12">
        <v>4500</v>
      </c>
      <c r="E2" s="7" t="s">
        <v>3</v>
      </c>
      <c r="F2" t="s">
        <v>28</v>
      </c>
    </row>
    <row r="3" spans="1:6" x14ac:dyDescent="0.25">
      <c r="A3" t="s">
        <v>6</v>
      </c>
      <c r="B3" s="12">
        <v>3245</v>
      </c>
      <c r="E3" s="5" t="s">
        <v>9</v>
      </c>
      <c r="F3" s="9">
        <v>8.0968381846888787E-2</v>
      </c>
    </row>
    <row r="4" spans="1:6" x14ac:dyDescent="0.25">
      <c r="A4" t="s">
        <v>7</v>
      </c>
      <c r="B4" s="12">
        <v>8000</v>
      </c>
      <c r="E4" s="5" t="s">
        <v>10</v>
      </c>
      <c r="F4" s="9">
        <v>9.9429172907979438E-2</v>
      </c>
    </row>
    <row r="5" spans="1:6" x14ac:dyDescent="0.25">
      <c r="A5" t="s">
        <v>8</v>
      </c>
      <c r="B5" s="12">
        <v>4500</v>
      </c>
      <c r="E5" s="5" t="s">
        <v>6</v>
      </c>
      <c r="F5" s="9">
        <v>0.13137119954657706</v>
      </c>
    </row>
    <row r="6" spans="1:6" x14ac:dyDescent="0.25">
      <c r="A6" t="s">
        <v>9</v>
      </c>
      <c r="B6" s="12">
        <v>2000</v>
      </c>
      <c r="E6" s="5" t="s">
        <v>8</v>
      </c>
      <c r="F6" s="9">
        <v>0.18217885915549978</v>
      </c>
    </row>
    <row r="7" spans="1:6" x14ac:dyDescent="0.25">
      <c r="A7" t="s">
        <v>10</v>
      </c>
      <c r="B7" s="12">
        <v>2456</v>
      </c>
      <c r="E7" s="5" t="s">
        <v>5</v>
      </c>
      <c r="F7" s="9">
        <v>0.18217885915549978</v>
      </c>
    </row>
    <row r="8" spans="1:6" x14ac:dyDescent="0.25">
      <c r="E8" s="5" t="s">
        <v>7</v>
      </c>
      <c r="F8" s="9">
        <v>0.32387352738755515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Pratica 1</vt:lpstr>
      <vt:lpstr>Pratica 2</vt:lpstr>
      <vt:lpstr>Pratica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Esquivo Rodrigues</dc:creator>
  <cp:lastModifiedBy>Esquivo Rodrigues</cp:lastModifiedBy>
  <dcterms:created xsi:type="dcterms:W3CDTF">2025-02-17T18:50:49Z</dcterms:created>
  <dcterms:modified xsi:type="dcterms:W3CDTF">2025-02-17T20:28:56Z</dcterms:modified>
</cp:coreProperties>
</file>